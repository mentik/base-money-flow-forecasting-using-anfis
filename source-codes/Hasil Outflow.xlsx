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GRAM S1\"/>
    </mc:Choice>
  </mc:AlternateContent>
  <bookViews>
    <workbookView xWindow="0" yWindow="0" windowWidth="19560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</calcChain>
</file>

<file path=xl/sharedStrings.xml><?xml version="1.0" encoding="utf-8"?>
<sst xmlns="http://schemas.openxmlformats.org/spreadsheetml/2006/main" count="8" uniqueCount="8">
  <si>
    <t>Bulan</t>
  </si>
  <si>
    <t>Aktual</t>
  </si>
  <si>
    <t>Prediksi</t>
  </si>
  <si>
    <t>MAPE</t>
  </si>
  <si>
    <t>NRMSE</t>
  </si>
  <si>
    <t>Error</t>
  </si>
  <si>
    <t>MSE</t>
  </si>
  <si>
    <t>%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</si>
</sst>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="130" zoomScaleNormal="130" workbookViewId="0">
      <selection activeCell="I11" sqref="I11"/>
    </sheetView>
  </sheetViews>
  <sheetFormatPr defaultRowHeight="15" x14ac:dyDescent="0.25"/>
  <cols>
    <col min="1" max="1" width="9" style="1" customWidth="1"/>
    <col min="5" max="5" width="10.5703125" style="3" customWidth="1"/>
    <col min="6" max="6" width="2.85546875" style="3" customWidth="1"/>
    <col min="8" max="8" width="12.8554687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5</v>
      </c>
      <c r="E1" s="3" t="s">
        <v>7</v>
      </c>
    </row>
    <row r="2" spans="1:8" x14ac:dyDescent="0.25">
      <c r="A2" s="1">
        <v>42826</v>
      </c>
      <c r="B2">
        <v>911877</v>
      </c>
      <c r="C2">
        <v>1442090.897846289</v>
      </c>
      <c r="D2">
        <f>ABS(B2-C2)</f>
        <v>530213.89784628898</v>
      </c>
      <c r="E2" s="3">
        <f>ABS(B2-C2)/B2</f>
        <v>0.58145330767887438</v>
      </c>
      <c r="G2" t="s">
        <v>6</v>
      </c>
      <c r="H2">
        <f>0.0871744*(MAX(B2:B25)-MIN(B2:B25))</f>
        <v>279566.7316608</v>
      </c>
    </row>
    <row r="3" spans="1:8" x14ac:dyDescent="0.25">
      <c r="A3" s="1">
        <v>42856</v>
      </c>
      <c r="B3">
        <v>1340866</v>
      </c>
      <c r="C3">
        <v>1193747.7126084974</v>
      </c>
      <c r="D3">
        <f t="shared" ref="D3:D25" si="0">ABS(B3-C3)</f>
        <v>147118.28739150264</v>
      </c>
      <c r="E3" s="3">
        <f>ABS(B3-C3)/B3</f>
        <v>0.1097188588505508</v>
      </c>
      <c r="G3" t="s">
        <v>4</v>
      </c>
      <c r="H3">
        <v>8.7174399999999999E-2</v>
      </c>
    </row>
    <row r="4" spans="1:8" x14ac:dyDescent="0.25">
      <c r="A4" s="1">
        <v>42887</v>
      </c>
      <c r="B4">
        <v>3569264</v>
      </c>
      <c r="C4">
        <v>3551575.1029889691</v>
      </c>
      <c r="D4">
        <f t="shared" si="0"/>
        <v>17688.897011030931</v>
      </c>
      <c r="E4" s="3">
        <f>ABS(B4-C4)/B4</f>
        <v>4.9558948318283351E-3</v>
      </c>
      <c r="G4" t="s">
        <v>3</v>
      </c>
      <c r="H4">
        <f>SUM(E2:E25)/24</f>
        <v>0.19243934235419777</v>
      </c>
    </row>
    <row r="5" spans="1:8" x14ac:dyDescent="0.25">
      <c r="A5" s="1">
        <v>42917</v>
      </c>
      <c r="B5">
        <v>781438</v>
      </c>
      <c r="C5">
        <v>934394.69336712908</v>
      </c>
      <c r="D5">
        <f t="shared" si="0"/>
        <v>152956.69336712908</v>
      </c>
      <c r="E5" s="3">
        <f>ABS(B5-C5)/B5</f>
        <v>0.19573746524628835</v>
      </c>
    </row>
    <row r="6" spans="1:8" x14ac:dyDescent="0.25">
      <c r="A6" s="1">
        <v>42948</v>
      </c>
      <c r="B6">
        <v>1801478</v>
      </c>
      <c r="C6">
        <v>1211075.9865120007</v>
      </c>
      <c r="D6">
        <f t="shared" si="0"/>
        <v>590402.01348799933</v>
      </c>
      <c r="E6" s="3">
        <f>ABS(B6-C6)/B6</f>
        <v>0.32773201420611259</v>
      </c>
    </row>
    <row r="7" spans="1:8" x14ac:dyDescent="0.25">
      <c r="A7" s="1">
        <v>42979</v>
      </c>
      <c r="B7">
        <v>1017944.0000000001</v>
      </c>
      <c r="C7">
        <v>1226152.3583468222</v>
      </c>
      <c r="D7">
        <f t="shared" si="0"/>
        <v>208208.35834682209</v>
      </c>
      <c r="E7" s="3">
        <f>ABS(B7-C7)/B7</f>
        <v>0.20453812621010789</v>
      </c>
    </row>
    <row r="8" spans="1:8" x14ac:dyDescent="0.25">
      <c r="A8" s="1">
        <v>43009</v>
      </c>
      <c r="B8">
        <v>1565914</v>
      </c>
      <c r="C8">
        <v>1433990.7333206134</v>
      </c>
      <c r="D8">
        <f t="shared" si="0"/>
        <v>131923.26667938661</v>
      </c>
      <c r="E8" s="3">
        <f>ABS(B8-C8)/B8</f>
        <v>8.4246814754441568E-2</v>
      </c>
    </row>
    <row r="9" spans="1:8" x14ac:dyDescent="0.25">
      <c r="A9" s="1">
        <v>43040</v>
      </c>
      <c r="B9">
        <v>1111984</v>
      </c>
      <c r="C9">
        <v>1130580.0548561781</v>
      </c>
      <c r="D9">
        <f t="shared" si="0"/>
        <v>18596.054856178118</v>
      </c>
      <c r="E9" s="3">
        <f>ABS(B9-C9)/B9</f>
        <v>1.6723311537016824E-2</v>
      </c>
    </row>
    <row r="10" spans="1:8" x14ac:dyDescent="0.25">
      <c r="A10" s="1">
        <v>43070</v>
      </c>
      <c r="B10">
        <v>1747078</v>
      </c>
      <c r="C10">
        <v>1228574.7085824087</v>
      </c>
      <c r="D10">
        <f t="shared" si="0"/>
        <v>518503.29141759127</v>
      </c>
      <c r="E10" s="3">
        <f>ABS(B10-C10)/B10</f>
        <v>0.29678313814128005</v>
      </c>
    </row>
    <row r="11" spans="1:8" x14ac:dyDescent="0.25">
      <c r="A11" s="1">
        <v>43101</v>
      </c>
      <c r="B11">
        <v>441305</v>
      </c>
      <c r="C11">
        <v>718898.95561336202</v>
      </c>
      <c r="D11">
        <f t="shared" si="0"/>
        <v>277593.95561336202</v>
      </c>
      <c r="E11" s="3">
        <f>ABS(B11-C11)/B11</f>
        <v>0.62902970873514241</v>
      </c>
    </row>
    <row r="12" spans="1:8" x14ac:dyDescent="0.25">
      <c r="A12" s="1">
        <v>43132</v>
      </c>
      <c r="B12">
        <v>1156299</v>
      </c>
      <c r="C12">
        <v>1148924.5510121444</v>
      </c>
      <c r="D12">
        <f t="shared" si="0"/>
        <v>7374.448987855576</v>
      </c>
      <c r="E12" s="3">
        <f>ABS(B12-C12)/B12</f>
        <v>6.3776315536514137E-3</v>
      </c>
    </row>
    <row r="13" spans="1:8" x14ac:dyDescent="0.25">
      <c r="A13" s="1">
        <v>43160</v>
      </c>
      <c r="B13">
        <v>1850518</v>
      </c>
      <c r="C13">
        <v>1788032.2521285252</v>
      </c>
      <c r="D13">
        <f t="shared" si="0"/>
        <v>62485.747871474829</v>
      </c>
      <c r="E13" s="3">
        <f>ABS(B13-C13)/B13</f>
        <v>3.376662527544981E-2</v>
      </c>
    </row>
    <row r="14" spans="1:8" x14ac:dyDescent="0.25">
      <c r="A14" s="1">
        <v>43191</v>
      </c>
      <c r="B14">
        <v>1272789</v>
      </c>
      <c r="C14">
        <v>995109.00046692695</v>
      </c>
      <c r="D14">
        <f t="shared" si="0"/>
        <v>277679.99953307305</v>
      </c>
      <c r="E14" s="3">
        <f>ABS(B14-C14)/B14</f>
        <v>0.21816656141204319</v>
      </c>
    </row>
    <row r="15" spans="1:8" x14ac:dyDescent="0.25">
      <c r="A15" s="1">
        <v>43221</v>
      </c>
      <c r="B15">
        <v>2789956</v>
      </c>
      <c r="C15">
        <v>2457859.7416917761</v>
      </c>
      <c r="D15">
        <f t="shared" si="0"/>
        <v>332096.25830822391</v>
      </c>
      <c r="E15" s="3">
        <f>ABS(B15-C15)/B15</f>
        <v>0.11903279417604576</v>
      </c>
    </row>
    <row r="16" spans="1:8" x14ac:dyDescent="0.25">
      <c r="A16" s="1">
        <v>43252</v>
      </c>
      <c r="B16">
        <v>2495678</v>
      </c>
      <c r="C16">
        <v>2200916.114218486</v>
      </c>
      <c r="D16">
        <f t="shared" si="0"/>
        <v>294761.88578151399</v>
      </c>
      <c r="E16" s="3">
        <f>ABS(B16-C16)/B16</f>
        <v>0.11810894104989265</v>
      </c>
    </row>
    <row r="17" spans="1:5" x14ac:dyDescent="0.25">
      <c r="A17" s="1">
        <v>43282</v>
      </c>
      <c r="B17">
        <v>1240037</v>
      </c>
      <c r="C17">
        <v>1185854.8084688785</v>
      </c>
      <c r="D17">
        <f t="shared" si="0"/>
        <v>54182.191531121498</v>
      </c>
      <c r="E17" s="3">
        <f>ABS(B17-C17)/B17</f>
        <v>4.3694011977966379E-2</v>
      </c>
    </row>
    <row r="18" spans="1:5" x14ac:dyDescent="0.25">
      <c r="A18" s="1">
        <v>43313</v>
      </c>
      <c r="B18">
        <v>1945239</v>
      </c>
      <c r="C18">
        <v>1560257.8693514061</v>
      </c>
      <c r="D18">
        <f t="shared" si="0"/>
        <v>384981.13064859388</v>
      </c>
      <c r="E18" s="3">
        <f>ABS(B18-C18)/B18</f>
        <v>0.19790942431680317</v>
      </c>
    </row>
    <row r="19" spans="1:5" x14ac:dyDescent="0.25">
      <c r="A19" s="1">
        <v>43344</v>
      </c>
      <c r="B19">
        <v>1559463</v>
      </c>
      <c r="C19">
        <v>1417859.8277822584</v>
      </c>
      <c r="D19">
        <f t="shared" si="0"/>
        <v>141603.17221774161</v>
      </c>
      <c r="E19" s="3">
        <f>ABS(B19-C19)/B19</f>
        <v>9.0802521263884814E-2</v>
      </c>
    </row>
    <row r="20" spans="1:5" x14ac:dyDescent="0.25">
      <c r="A20" s="1">
        <v>43374</v>
      </c>
      <c r="B20">
        <v>1420029</v>
      </c>
      <c r="C20">
        <v>1637300.9594374015</v>
      </c>
      <c r="D20">
        <f t="shared" si="0"/>
        <v>217271.9594374015</v>
      </c>
      <c r="E20" s="3">
        <f>ABS(B20-C20)/B20</f>
        <v>0.15300529738294183</v>
      </c>
    </row>
    <row r="21" spans="1:5" x14ac:dyDescent="0.25">
      <c r="A21" s="1">
        <v>43405</v>
      </c>
      <c r="B21">
        <v>1240506</v>
      </c>
      <c r="C21">
        <v>1601644.6710660439</v>
      </c>
      <c r="D21">
        <f t="shared" si="0"/>
        <v>361138.6710660439</v>
      </c>
      <c r="E21" s="3">
        <f>ABS(B21-C21)/B21</f>
        <v>0.29112206717746136</v>
      </c>
    </row>
    <row r="22" spans="1:5" x14ac:dyDescent="0.25">
      <c r="A22" s="1">
        <v>43435</v>
      </c>
      <c r="B22">
        <v>3042895</v>
      </c>
      <c r="C22">
        <v>2742856.5007300638</v>
      </c>
      <c r="D22">
        <f t="shared" si="0"/>
        <v>300038.49926993623</v>
      </c>
      <c r="E22" s="3">
        <f>ABS(B22-C22)/B22</f>
        <v>9.8602974887380679E-2</v>
      </c>
    </row>
    <row r="23" spans="1:5" x14ac:dyDescent="0.25">
      <c r="A23" s="1">
        <v>43466</v>
      </c>
      <c r="B23">
        <v>362282</v>
      </c>
      <c r="C23">
        <v>609634.02637128474</v>
      </c>
      <c r="D23">
        <f t="shared" si="0"/>
        <v>247352.02637128474</v>
      </c>
      <c r="E23" s="3">
        <f>ABS(B23-C23)/B23</f>
        <v>0.68276101592484506</v>
      </c>
    </row>
    <row r="24" spans="1:5" x14ac:dyDescent="0.25">
      <c r="A24" s="1">
        <v>43497</v>
      </c>
      <c r="B24">
        <v>1287582</v>
      </c>
      <c r="C24">
        <v>1183922.7471056255</v>
      </c>
      <c r="D24">
        <f t="shared" si="0"/>
        <v>103659.25289437454</v>
      </c>
      <c r="E24" s="3">
        <f>ABS(B24-C24)/B24</f>
        <v>8.0506913652392265E-2</v>
      </c>
    </row>
    <row r="25" spans="1:5" x14ac:dyDescent="0.25">
      <c r="A25" s="1">
        <v>43525</v>
      </c>
      <c r="B25">
        <v>2032197.9999999998</v>
      </c>
      <c r="C25">
        <v>1963573.1197813845</v>
      </c>
      <c r="D25">
        <f t="shared" si="0"/>
        <v>68624.88021861529</v>
      </c>
      <c r="E25" s="3">
        <f>ABS(B25-C25)/B25</f>
        <v>3.3768796258344558E-2</v>
      </c>
    </row>
    <row r="26" spans="1:5" x14ac:dyDescent="0.25">
      <c r="B26" s="2"/>
      <c r="C26" s="2"/>
    </row>
  </sheetData>
  <mergeCells count="1">
    <mergeCell ref="B26:C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Mentik</dc:creator>
  <cp:lastModifiedBy>Mentik</cp:lastModifiedBy>
  <dcterms:created xsi:type="dcterms:W3CDTF">2020-09-08T22:05:57Z</dcterms:created>
  <dcterms:modified xsi:type="dcterms:W3CDTF">2020-10-15T11:19:43Z</dcterms:modified>
</cp:coreProperties>
</file>